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242b1dc17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87e643414a04f0b"/>
    <x:sheet xmlns:r="http://schemas.openxmlformats.org/officeDocument/2006/relationships" name="Leads" sheetId="2" r:id="R2281949a6b21483a"/>
    <x:sheet xmlns:r="http://schemas.openxmlformats.org/officeDocument/2006/relationships" name="Config" sheetId="3" r:id="R7dc82e0dbf53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111827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BEAFE"/>
      </x:patternFill>
    </x:fill>
    <x:fill>
      <x:patternFill patternType="solid">
        <x:fgColor rgb="1D4ED8"/>
      </x:patternFill>
    </x:fill>
    <x:fill>
      <x:patternFill patternType="solid">
        <x:fgColor rgb="F3F4F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b31804753494f" /><Relationship Type="http://schemas.openxmlformats.org/officeDocument/2006/relationships/theme" Target="/xl/theme/theme1.xml" Id="R86fbfe0ccae14d6e" /><Relationship Type="http://schemas.openxmlformats.org/officeDocument/2006/relationships/sharedStrings" Target="/xl/sharedStrings.xml" Id="Ra7cca83ac046464c" /><Relationship Type="http://schemas.openxmlformats.org/officeDocument/2006/relationships/worksheet" Target="/xl/worksheets/sheet1.xml" Id="R687e643414a04f0b" /><Relationship Type="http://schemas.openxmlformats.org/officeDocument/2006/relationships/worksheet" Target="/xl/worksheets/sheet2.xml" Id="R2281949a6b21483a" /><Relationship Type="http://schemas.openxmlformats.org/officeDocument/2006/relationships/worksheet" Target="/xl/worksheets/sheet3.xml" Id="R7dc82e0dbf534855" /></Relationships>
</file>

<file path=xl/tables/table1.xml><?xml version="1.0" encoding="utf-8"?>
<x:table xmlns:x="http://schemas.openxmlformats.org/spreadsheetml/2006/main" id="1" name="LeadsTable" displayName="LeadsTable" ref="A1:O501" headerRowCount="1">
  <x:autoFilter ref="A1:O501"/>
  <x:tableColumns count="15">
    <x:tableColumn id="1" name="lead_id"/>
    <x:tableColumn id="2" name="negocio"/>
    <x:tableColumn id="3" name="rubro"/>
    <x:tableColumn id="4" name="barrio"/>
    <x:tableColumn id="5" name="email"/>
    <x:tableColumn id="6" name="fuente_publica"/>
    <x:tableColumn id="7" name="web_redes"/>
    <x:tableColumn id="8" name="score"/>
    <x:tableColumn id="9" name="dolor_detectado"/>
    <x:tableColumn id="10" name="estado"/>
    <x:tableColumn id="11" name="ultimo_contacto"/>
    <x:tableColumn id="12" name="proximo_followup"/>
    <x:tableColumn id="13" name="baja"/>
    <x:tableColumn id="14" name="respuesta"/>
    <x:tableColumn id="15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569f45347641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56999969482422" hidden="0" customWidth="1"/>
    <x:col min="2" max="2" width="4.170000076293945" hidden="0" customWidth="1"/>
  </x:cols>
  <x:sheetData>
    <x:row r="1">
      <x:c r="A1" s="2" t="str">
        <x:v>Freelance Outreach CRM</x:v>
      </x:c>
    </x:row>
    <x:row r="3">
      <x:c r="A3" s="4" t="str">
        <x:v>Metrica</x:v>
      </x:c>
      <x:c r="B3" s="4" t="str">
        <x:v>Valor</x:v>
      </x:c>
    </x:row>
    <x:row r="4">
      <x:c r="A4" t="str">
        <x:v>Leads totales</x:v>
      </x:c>
      <x:c r="B4" t="n">
        <x:f>COUNTA(Leads!A2:A501)</x:f>
        <x:v>5</x:v>
      </x:c>
    </x:row>
    <x:row r="5">
      <x:c r="A5" t="str">
        <x:v>Elegibles</x:v>
      </x:c>
      <x:c r="B5" t="n">
        <x:f>MAX(0,B4-COUNTIF(Leads!J2:J501,"No contactar")-COUNTIF(Leads!J2:J501,"Ganado")-COUNTIF(Leads!J2:J501,"Perdido")-COUNTIFS(Leads!M2:M501,"si",Leads!J2:J501,"&lt;&gt;No contactar"))</x:f>
        <x:v>4</x:v>
      </x:c>
    </x:row>
    <x:row r="6">
      <x:c r="A6" t="str">
        <x:v>Borradores/pendientes</x:v>
      </x:c>
      <x:c r="B6" t="n">
        <x:f>COUNTIF(Leads!J2:J501,"Calificado")+COUNTIF(Leads!J2:J501,"Borrador creado")</x:f>
        <x:v>2</x:v>
      </x:c>
    </x:row>
    <x:row r="7">
      <x:c r="A7" t="str">
        <x:v>Respondieron</x:v>
      </x:c>
      <x:c r="B7" t="n">
        <x:f>COUNTIF(Leads!J2:J501,"Respondio")</x:f>
        <x:v>0</x:v>
      </x:c>
    </x:row>
    <x:row r="8">
      <x:c r="A8" t="str">
        <x:v>Bajas/no contactar</x:v>
      </x:c>
      <x:c r="B8" t="n">
        <x:f>COUNTIF(Leads!J2:J501,"No contactar")+COUNTIFS(Leads!M2:M501,"si",Leads!J2:J501,"&lt;&gt;No contactar")</x:f>
        <x:v>1</x:v>
      </x:c>
    </x:row>
    <x:row r="9">
      <x:c r="A9" t="str">
        <x:v>Propuestas</x:v>
      </x:c>
      <x:c r="B9" t="n">
        <x:f>COUNTIF(Leads!J2:J501,"Propuesta")</x:f>
        <x:v>0</x:v>
      </x:c>
    </x:row>
    <x:row r="11">
      <x:c r="A11" s="6" t="str">
        <x:v>Uso diario</x:v>
      </x:c>
      <x:c r="B11" t="str"/>
      <x:c r="C11" t="str"/>
      <x:c r="D11" t="str"/>
      <x:c r="E11" t="str"/>
      <x:c r="F11" t="str"/>
    </x:row>
    <x:row r="12">
      <x:c r="A12" t="str">
        <x:v>1. Completar/pegar leads en la hoja Leads.</x:v>
      </x:c>
      <x:c r="B12" t="str"/>
      <x:c r="C12" t="str"/>
      <x:c r="D12" t="str"/>
      <x:c r="E12" t="str"/>
      <x:c r="F12" t="str"/>
    </x:row>
    <x:row r="13">
      <x:c r="A13" t="str">
        <x:v>2. Exportar como CSV si se usaran scripts.</x:v>
      </x:c>
      <x:c r="B13" t="str"/>
      <x:c r="C13" t="str"/>
      <x:c r="D13" t="str"/>
      <x:c r="E13" t="str"/>
      <x:c r="F13" t="str"/>
    </x:row>
    <x:row r="14">
      <x:c r="A14" t="str">
        <x:v>3. Ejecutar auditoria, scoring, next_actions y draft_emails.</x:v>
      </x:c>
      <x:c r="B14" t="str"/>
      <x:c r="C14" t="str"/>
      <x:c r="D14" t="str"/>
      <x:c r="E14" t="str"/>
      <x:c r="F14" t="str"/>
    </x:row>
    <x:row r="15">
      <x:c r="A15" t="str">
        <x:v>4. Revisar y enviar manualmente desde Gmail.</x:v>
      </x:c>
      <x:c r="B15" t="str"/>
      <x:c r="C15" t="str"/>
      <x:c r="D15" t="str"/>
      <x:c r="E15" t="str"/>
      <x:c r="F15" t="str"/>
    </x:row>
  </x:sheetData>
  <x:mergeCells>
    <x:mergeCell ref="A1:F1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920000076293945" hidden="0" customWidth="1"/>
    <x:col min="2" max="2" width="15.210000038146973" hidden="0" customWidth="1"/>
    <x:col min="3" max="3" width="19.920000076293945" hidden="0" customWidth="1"/>
    <x:col min="4" max="4" width="8.75" hidden="0" customWidth="1"/>
    <x:col min="5" max="5" width="25.979999542236328" hidden="0" customWidth="1"/>
    <x:col min="6" max="6" width="20.049999237060547" hidden="0" customWidth="1"/>
    <x:col min="7" max="7" width="29.34000015258789" hidden="0" customWidth="1"/>
    <x:col min="8" max="8" width="4.309999942779541" hidden="0" customWidth="1"/>
    <x:col min="9" max="9" width="32.16999816894531" hidden="0" customWidth="1"/>
    <x:col min="10" max="10" width="10.229999542236328" hidden="0" customWidth="1"/>
    <x:col min="11" max="11" width="13.460000038146973" hidden="0" customWidth="1"/>
    <x:col min="12" max="12" width="14.9399995803833" hidden="0" customWidth="1"/>
    <x:col min="13" max="13" width="3.5" hidden="0" customWidth="1"/>
    <x:col min="14" max="14" width="17.770000457763672" hidden="0" customWidth="1"/>
    <x:col min="15" max="15" width="31.6299991607666" hidden="0" customWidth="1"/>
  </x:cols>
  <x:sheetData>
    <x:row r="1" ht="31.5" customHeight="1">
      <x:c r="A1" s="7" t="str">
        <x:v>lead_id</x:v>
      </x:c>
      <x:c r="B1" s="7" t="str">
        <x:v>negocio</x:v>
      </x:c>
      <x:c r="C1" s="7" t="str">
        <x:v>rubro</x:v>
      </x:c>
      <x:c r="D1" s="7" t="str">
        <x:v>barrio</x:v>
      </x:c>
      <x:c r="E1" s="7" t="str">
        <x:v>email</x:v>
      </x:c>
      <x:c r="F1" s="7" t="str">
        <x:v>fuente_publica</x:v>
      </x:c>
      <x:c r="G1" s="7" t="str">
        <x:v>web_redes</x:v>
      </x:c>
      <x:c r="H1" s="7" t="str">
        <x:v>score</x:v>
      </x:c>
      <x:c r="I1" s="7" t="str">
        <x:v>dolor_detectado</x:v>
      </x:c>
      <x:c r="J1" s="7" t="str">
        <x:v>estado</x:v>
      </x:c>
      <x:c r="K1" s="7" t="str">
        <x:v>ultimo_contacto</x:v>
      </x:c>
      <x:c r="L1" s="7" t="str">
        <x:v>proximo_followup</x:v>
      </x:c>
      <x:c r="M1" s="7" t="str">
        <x:v>baja</x:v>
      </x:c>
      <x:c r="N1" s="7" t="str">
        <x:v>respuesta</x:v>
      </x:c>
      <x:c r="O1" s="7" t="str">
        <x:v>notas</x:v>
      </x:c>
    </x:row>
    <x:row r="2">
      <x:c r="A2" s="8" t="str">
        <x:v>L-0001</x:v>
      </x:c>
      <x:c r="B2" s="8" t="str">
        <x:v>Aura Belleza</x:v>
      </x:c>
      <x:c r="C2" s="8" t="str">
        <x:v>estetica</x:v>
      </x:c>
      <x:c r="D2" s="8" t="str">
        <x:v>Palermo</x:v>
      </x:c>
      <x:c r="E2" s="8" t="str">
        <x:v>contacto@aurabelleza.example</x:v>
      </x:c>
      <x:c r="F2" s="8" t="str">
        <x:v>Perfil publico ficticio</x:v>
      </x:c>
      <x:c r="G2" s="8" t="str">
        <x:v>https://instagram.com/aura-belleza</x:v>
      </x:c>
      <x:c r="H2" s="8" t="str"/>
      <x:c r="I2" s="8" t="str">
        <x:v>turnos por WhatsApp sin agenda visible</x:v>
      </x:c>
      <x:c r="J2" s="8" t="str">
        <x:v>Calificado</x:v>
      </x:c>
      <x:c r="K2" s="8" t="str"/>
      <x:c r="L2" s="8" t="str"/>
      <x:c r="M2" s="8" t="str"/>
      <x:c r="N2" s="8" t="str"/>
      <x:c r="O2" s="8" t="str">
        <x:v>FICTICIO - reemplazar por lead real</x:v>
      </x:c>
    </x:row>
    <x:row r="3">
      <x:c r="A3" s="8" t="str">
        <x:v>L-0002</x:v>
      </x:c>
      <x:c r="B3" s="8" t="str">
        <x:v>Corte Norte Barber</x:v>
      </x:c>
      <x:c r="C3" s="8" t="str">
        <x:v>barberia</x:v>
      </x:c>
      <x:c r="D3" s="8" t="str">
        <x:v>Belgrano</x:v>
      </x:c>
      <x:c r="E3" s="8" t="str">
        <x:v>hola@cortenorte.example</x:v>
      </x:c>
      <x:c r="F3" s="8" t="str">
        <x:v>Web publica ficticia</x:v>
      </x:c>
      <x:c r="G3" s="8" t="str">
        <x:v>https://cortenorte.example</x:v>
      </x:c>
      <x:c r="H3" s="8" t="str"/>
      <x:c r="I3" s="8" t="str">
        <x:v>no muestra horarios ni reserva online</x:v>
      </x:c>
      <x:c r="J3" s="8" t="str">
        <x:v>Calificado</x:v>
      </x:c>
      <x:c r="K3" s="8" t="str"/>
      <x:c r="L3" s="8" t="str"/>
      <x:c r="M3" s="8" t="str"/>
      <x:c r="N3" s="8" t="str"/>
      <x:c r="O3" s="8" t="str">
        <x:v>FICTICIO - reemplazar por lead real</x:v>
      </x:c>
    </x:row>
    <x:row r="4">
      <x:c r="A4" s="8" t="str">
        <x:v>L-0003</x:v>
      </x:c>
      <x:c r="B4" s="8" t="str">
        <x:v>Pilates Sur</x:v>
      </x:c>
      <x:c r="C4" s="8" t="str">
        <x:v>pilates</x:v>
      </x:c>
      <x:c r="D4" s="8" t="str">
        <x:v>Avellaneda</x:v>
      </x:c>
      <x:c r="E4" s="8" t="str">
        <x:v>info@pilatessur.example</x:v>
      </x:c>
      <x:c r="F4" s="8" t="str">
        <x:v>Directorio publico ficticio</x:v>
      </x:c>
      <x:c r="G4" s="8" t="str">
        <x:v>https://instagram.com/pilates-sur</x:v>
      </x:c>
      <x:c r="H4" s="8" t="str"/>
      <x:c r="I4" s="8" t="str">
        <x:v>consultas de cupos por mensaje</x:v>
      </x:c>
      <x:c r="J4" s="8" t="str">
        <x:v>Enviado</x:v>
      </x:c>
      <x:c r="K4" s="8" t="str">
        <x:v>2026-05-13</x:v>
      </x:c>
      <x:c r="L4" s="8" t="str"/>
      <x:c r="M4" s="8" t="str"/>
      <x:c r="N4" s="8" t="str">
        <x:v>Sin respuesta aun</x:v>
      </x:c>
      <x:c r="O4" s="8" t="str">
        <x:v>FICTICIO - reemplazar por lead real</x:v>
      </x:c>
    </x:row>
    <x:row r="5">
      <x:c r="A5" s="8" t="str">
        <x:v>L-0004</x:v>
      </x:c>
      <x:c r="B5" s="8" t="str">
        <x:v>Dra Sonrisas</x:v>
      </x:c>
      <x:c r="C5" s="8" t="str">
        <x:v>consultorio odontologico</x:v>
      </x:c>
      <x:c r="D5" s="8" t="str">
        <x:v>Caballito</x:v>
      </x:c>
      <x:c r="E5" s="8" t="str">
        <x:v>turnos@drasonrisas.example</x:v>
      </x:c>
      <x:c r="F5" s="8" t="str">
        <x:v>Web publica ficticia</x:v>
      </x:c>
      <x:c r="G5" s="8" t="str">
        <x:v>https://drasonrisas.example</x:v>
      </x:c>
      <x:c r="H5" s="8" t="str"/>
      <x:c r="I5" s="8" t="str">
        <x:v>formulario largo y sin confirmacion clara</x:v>
      </x:c>
      <x:c r="J5" s="8" t="str">
        <x:v>Follow-up 1</x:v>
      </x:c>
      <x:c r="K5" s="8" t="str">
        <x:v>2026-05-08</x:v>
      </x:c>
      <x:c r="L5" s="8" t="str"/>
      <x:c r="M5" s="8" t="str"/>
      <x:c r="N5" s="8" t="str">
        <x:v>Pidio mas informacion</x:v>
      </x:c>
      <x:c r="O5" s="8" t="str">
        <x:v>FICTICIO - reemplazar por lead real</x:v>
      </x:c>
    </x:row>
    <x:row r="6">
      <x:c r="A6" s="8" t="str">
        <x:v>L-0005</x:v>
      </x:c>
      <x:c r="B6" s="8" t="str">
        <x:v>Manos Lindas</x:v>
      </x:c>
      <x:c r="C6" s="8" t="str">
        <x:v>unas</x:v>
      </x:c>
      <x:c r="D6" s="8" t="str">
        <x:v>Recoleta</x:v>
      </x:c>
      <x:c r="E6" s="8" t="str">
        <x:v>contacto@manoslindas.example</x:v>
      </x:c>
      <x:c r="F6" s="8" t="str">
        <x:v>Perfil publico ficticio</x:v>
      </x:c>
      <x:c r="G6" s="8" t="str">
        <x:v>https://instagram.com/manos-lindas</x:v>
      </x:c>
      <x:c r="H6" s="8" t="str">
        <x:v>0</x:v>
      </x:c>
      <x:c r="I6" s="8" t="str">
        <x:v>agenda por DM</x:v>
      </x:c>
      <x:c r="J6" s="8" t="str">
        <x:v>No contactar</x:v>
      </x:c>
      <x:c r="K6" s="8" t="str"/>
      <x:c r="L6" s="8" t="str"/>
      <x:c r="M6" s="8" t="str">
        <x:v>si</x:v>
      </x:c>
      <x:c r="N6" s="8" t="str"/>
      <x:c r="O6" s="8" t="str">
        <x:v>FICTICIO - lead bloqueado para pruebas</x:v>
      </x:c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</x:row>
  </x:sheetData>
  <x:dataValidations count="2">
    <x:dataValidation type="list" sqref="J2:J501">
      <x:formula1>"Calificado,Borrador creado,Enviado,Follow-up 1,Follow-up 2,Respondio,Reunion,Propuesta,Ganado,Perdido,No contactar"</x:formula1>
    </x:dataValidation>
    <x:dataValidation type="list" sqref="M2:M501">
      <x:formula1>",si"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569f45347641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52.220001220703125" hidden="0" customWidth="1"/>
  </x:cols>
  <x:sheetData>
    <x:row r="1">
      <x:c r="A1" s="4" t="str">
        <x:v>Campo</x:v>
      </x:c>
      <x:c r="B1" s="4" t="str">
        <x:v>Valor</x:v>
      </x:c>
    </x:row>
    <x:row r="2">
      <x:c r="A2" t="str">
        <x:v>sender_name</x:v>
      </x:c>
      <x:c r="B2" t="str">
        <x:v>Tu Nombre</x:v>
      </x:c>
    </x:row>
    <x:row r="3">
      <x:c r="A3" t="str">
        <x:v>sender_email</x:v>
      </x:c>
      <x:c r="B3" t="str">
        <x:v>tu.freelance@gmail.com</x:v>
      </x:c>
    </x:row>
    <x:row r="4">
      <x:c r="A4" t="str">
        <x:v>brand_name</x:v>
      </x:c>
      <x:c r="B4" t="str">
        <x:v>Reservas Online Freelance</x:v>
      </x:c>
    </x:row>
    <x:row r="5">
      <x:c r="A5" t="str">
        <x:v>default_demo_link</x:v>
      </x:c>
      <x:c r="B5" t="str">
        <x:v>https://example.com/demo-reservas</x:v>
      </x:c>
    </x:row>
    <x:row r="6">
      <x:c r="A6" t="str">
        <x:v>wave_1_daily_limit</x:v>
      </x:c>
      <x:c r="B6" t="str">
        <x:v>10</x:v>
      </x:c>
    </x:row>
    <x:row r="7">
      <x:c r="A7" t="str">
        <x:v>wave_2_daily_limit</x:v>
      </x:c>
      <x:c r="B7" t="str">
        <x:v>15</x:v>
      </x:c>
    </x:row>
    <x:row r="8">
      <x:c r="A8" t="str">
        <x:v>nota</x:v>
      </x:c>
      <x:c r="B8" t="str">
        <x:v>La cuenta Gmail se crea manualmente y se separa de Readymind.</x:v>
      </x:c>
    </x:row>
  </x:sheetData>
  <x:pageMargins left="0.7" right="0.7" top="0.75" bottom="0.75" header="0.3" footer="0.3"/>
</x:worksheet>
</file>